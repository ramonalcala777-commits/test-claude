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1 - Horas Jose y Emilio" sheetId="2" state="visible" r:id="rId2"/>
    <sheet name="2 - Tractor Saba Pistachio" sheetId="3" state="visible" r:id="rId3"/>
    <sheet name="3 - Km gasolina Jose y Emil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165" fontId="4" fillId="0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Resumen de trabajo – Septiembre 2026</t>
        </is>
      </c>
    </row>
    <row r="2">
      <c r="A2" s="2" t="inlineStr">
        <is>
          <t>Los datos salen de las otras hojas</t>
        </is>
      </c>
    </row>
    <row r="4" ht="32" customHeight="1">
      <c r="A4" s="3" t="inlineStr">
        <is>
          <t>Concepto</t>
        </is>
      </c>
      <c r="B4" s="3" t="inlineStr">
        <is>
          <t>Días trabajados</t>
        </is>
      </c>
      <c r="C4" s="3" t="inlineStr">
        <is>
          <t>Horas por persona</t>
        </is>
      </c>
      <c r="D4" s="3" t="inlineStr">
        <is>
          <t>Horas totales</t>
        </is>
      </c>
      <c r="E4" s="3" t="inlineStr">
        <is>
          <t>Kilómetros</t>
        </is>
      </c>
    </row>
    <row r="5">
      <c r="A5" s="4" t="inlineStr">
        <is>
          <t>Jose y Emilio</t>
        </is>
      </c>
      <c r="B5" s="5">
        <f>COUNT('1 - Horas Jose y Emilio'!A5:A22)</f>
        <v/>
      </c>
      <c r="C5" s="12">
        <f>'1 - Horas Jose y Emilio'!E23</f>
        <v/>
      </c>
      <c r="D5" s="12">
        <f>'1 - Horas Jose y Emilio'!F23</f>
        <v/>
      </c>
      <c r="E5" s="5">
        <f>'3 - Km gasolina Jose y Emilio'!E10</f>
        <v/>
      </c>
    </row>
    <row r="6">
      <c r="A6" s="4" t="inlineStr">
        <is>
          <t>Tractor – Saba Pistachio</t>
        </is>
      </c>
      <c r="B6" s="5">
        <f>COUNT('2 - Tractor Saba Pistachio'!C5:C11)</f>
        <v/>
      </c>
      <c r="C6" s="12">
        <f>'2 - Tractor Saba Pistachio'!C12</f>
        <v/>
      </c>
      <c r="D6" s="12">
        <f>C6</f>
        <v/>
      </c>
      <c r="E6" s="5">
        <f>'2 - Tractor Saba Pistachio'!D12</f>
        <v/>
      </c>
    </row>
    <row r="7">
      <c r="A7" s="7" t="inlineStr">
        <is>
          <t>TOTAL KILÓMETROS</t>
        </is>
      </c>
      <c r="B7" s="8" t="n"/>
      <c r="C7" s="8" t="n"/>
      <c r="D7" s="8" t="n"/>
      <c r="E7" s="8">
        <f>E5+E6</f>
        <v/>
      </c>
    </row>
    <row r="9">
      <c r="A9" s="9" t="inlineStr">
        <is>
          <t>Las horas totales de Jose y Emilio son personas × horas de cada día. La del tractor es una sola persona.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5" customWidth="1" min="4" max="4"/>
    <col width="17" customWidth="1" min="5" max="5"/>
    <col width="16" customWidth="1" min="6" max="6"/>
  </cols>
  <sheetData>
    <row r="1">
      <c r="A1" s="1" t="inlineStr">
        <is>
          <t>Horas trabajadas – Jose y Emilio</t>
        </is>
      </c>
    </row>
    <row r="2">
      <c r="A2" s="2" t="inlineStr">
        <is>
          <t>Septiembre 2026 · Horas totales = personas × horas por persona</t>
        </is>
      </c>
    </row>
    <row r="4" ht="32" customHeight="1">
      <c r="A4" s="3" t="inlineStr">
        <is>
          <t>Día de trabajo</t>
        </is>
      </c>
      <c r="B4" s="3" t="inlineStr">
        <is>
          <t>Fecha</t>
        </is>
      </c>
      <c r="C4" s="3" t="inlineStr">
        <is>
          <t>Día de la semana</t>
        </is>
      </c>
      <c r="D4" s="3" t="inlineStr">
        <is>
          <t>Nº de personas</t>
        </is>
      </c>
      <c r="E4" s="3" t="inlineStr">
        <is>
          <t>Horas por persona</t>
        </is>
      </c>
      <c r="F4" s="3" t="inlineStr">
        <is>
          <t>Horas totales</t>
        </is>
      </c>
    </row>
    <row r="5">
      <c r="A5" s="5" t="n">
        <v>1</v>
      </c>
      <c r="B5" s="10" t="n">
        <v>46269</v>
      </c>
      <c r="C5" s="5" t="inlineStr">
        <is>
          <t>Viernes</t>
        </is>
      </c>
      <c r="D5" s="5" t="n">
        <v>5</v>
      </c>
      <c r="E5" s="12" t="n">
        <v>8</v>
      </c>
      <c r="F5" s="12">
        <f>D5*E5</f>
        <v/>
      </c>
    </row>
    <row r="6">
      <c r="A6" s="5" t="n">
        <v>2</v>
      </c>
      <c r="B6" s="10" t="n">
        <v>46270</v>
      </c>
      <c r="C6" s="5" t="inlineStr">
        <is>
          <t>Sábado</t>
        </is>
      </c>
      <c r="D6" s="5" t="n">
        <v>4</v>
      </c>
      <c r="E6" s="12" t="n">
        <v>10</v>
      </c>
      <c r="F6" s="12">
        <f>D6*E6</f>
        <v/>
      </c>
    </row>
    <row r="7">
      <c r="A7" s="5" t="n">
        <v>3</v>
      </c>
      <c r="B7" s="10" t="n">
        <v>46271</v>
      </c>
      <c r="C7" s="5" t="inlineStr">
        <is>
          <t>Domingo</t>
        </is>
      </c>
      <c r="D7" s="5" t="n">
        <v>5</v>
      </c>
      <c r="E7" s="12" t="n">
        <v>7</v>
      </c>
      <c r="F7" s="12">
        <f>D7*E7</f>
        <v/>
      </c>
    </row>
    <row r="8">
      <c r="A8" s="5" t="n">
        <v>4</v>
      </c>
      <c r="B8" s="10" t="n">
        <v>46273</v>
      </c>
      <c r="C8" s="5" t="inlineStr">
        <is>
          <t>Martes</t>
        </is>
      </c>
      <c r="D8" s="5" t="n">
        <v>5</v>
      </c>
      <c r="E8" s="12" t="n">
        <v>7.5</v>
      </c>
      <c r="F8" s="12">
        <f>D8*E8</f>
        <v/>
      </c>
    </row>
    <row r="9">
      <c r="A9" s="5" t="n">
        <v>5</v>
      </c>
      <c r="B9" s="10" t="n">
        <v>46274</v>
      </c>
      <c r="C9" s="5" t="inlineStr">
        <is>
          <t>Miércoles</t>
        </is>
      </c>
      <c r="D9" s="5" t="n">
        <v>5</v>
      </c>
      <c r="E9" s="12" t="n">
        <v>7</v>
      </c>
      <c r="F9" s="12">
        <f>D9*E9</f>
        <v/>
      </c>
    </row>
    <row r="10">
      <c r="A10" s="5" t="n">
        <v>6</v>
      </c>
      <c r="B10" s="10" t="n">
        <v>46275</v>
      </c>
      <c r="C10" s="5" t="inlineStr">
        <is>
          <t>Jueves</t>
        </is>
      </c>
      <c r="D10" s="5" t="n">
        <v>5</v>
      </c>
      <c r="E10" s="12" t="n">
        <v>8</v>
      </c>
      <c r="F10" s="12">
        <f>D10*E10</f>
        <v/>
      </c>
    </row>
    <row r="11">
      <c r="A11" s="5" t="n">
        <v>7</v>
      </c>
      <c r="B11" s="10" t="n">
        <v>46276</v>
      </c>
      <c r="C11" s="5" t="inlineStr">
        <is>
          <t>Viernes</t>
        </is>
      </c>
      <c r="D11" s="5" t="n">
        <v>5</v>
      </c>
      <c r="E11" s="12" t="n">
        <v>8</v>
      </c>
      <c r="F11" s="12">
        <f>D11*E11</f>
        <v/>
      </c>
    </row>
    <row r="12">
      <c r="A12" s="5" t="n">
        <v>8</v>
      </c>
      <c r="B12" s="10" t="n">
        <v>46279</v>
      </c>
      <c r="C12" s="5" t="inlineStr">
        <is>
          <t>Lunes</t>
        </is>
      </c>
      <c r="D12" s="5" t="n">
        <v>5</v>
      </c>
      <c r="E12" s="12" t="n">
        <v>8</v>
      </c>
      <c r="F12" s="12">
        <f>D12*E12</f>
        <v/>
      </c>
    </row>
    <row r="13">
      <c r="A13" s="5" t="n">
        <v>9</v>
      </c>
      <c r="B13" s="10" t="n">
        <v>46282</v>
      </c>
      <c r="C13" s="5" t="inlineStr">
        <is>
          <t>Jueves</t>
        </is>
      </c>
      <c r="D13" s="5" t="n">
        <v>5</v>
      </c>
      <c r="E13" s="12" t="n">
        <v>8</v>
      </c>
      <c r="F13" s="12">
        <f>D13*E13</f>
        <v/>
      </c>
    </row>
    <row r="14">
      <c r="A14" s="5" t="n">
        <v>10</v>
      </c>
      <c r="B14" s="10" t="n">
        <v>46283</v>
      </c>
      <c r="C14" s="5" t="inlineStr">
        <is>
          <t>Viernes</t>
        </is>
      </c>
      <c r="D14" s="5" t="n">
        <v>5</v>
      </c>
      <c r="E14" s="12" t="n">
        <v>8</v>
      </c>
      <c r="F14" s="12">
        <f>D14*E14</f>
        <v/>
      </c>
    </row>
    <row r="15">
      <c r="A15" s="5" t="n">
        <v>11</v>
      </c>
      <c r="B15" s="10" t="n">
        <v>46286</v>
      </c>
      <c r="C15" s="5" t="inlineStr">
        <is>
          <t>Lunes</t>
        </is>
      </c>
      <c r="D15" s="5" t="n">
        <v>5</v>
      </c>
      <c r="E15" s="12" t="n">
        <v>7</v>
      </c>
      <c r="F15" s="12">
        <f>D15*E15</f>
        <v/>
      </c>
    </row>
    <row r="16">
      <c r="A16" s="5" t="n">
        <v>12</v>
      </c>
      <c r="B16" s="10" t="n">
        <v>46287</v>
      </c>
      <c r="C16" s="5" t="inlineStr">
        <is>
          <t>Martes</t>
        </is>
      </c>
      <c r="D16" s="5" t="n">
        <v>5</v>
      </c>
      <c r="E16" s="12" t="n">
        <v>6.5</v>
      </c>
      <c r="F16" s="12">
        <f>D16*E16</f>
        <v/>
      </c>
    </row>
    <row r="17">
      <c r="A17" s="5" t="n">
        <v>13</v>
      </c>
      <c r="B17" s="10" t="n">
        <v>46288</v>
      </c>
      <c r="C17" s="5" t="inlineStr">
        <is>
          <t>Miércoles</t>
        </is>
      </c>
      <c r="D17" s="5" t="n">
        <v>5</v>
      </c>
      <c r="E17" s="12" t="n">
        <v>8</v>
      </c>
      <c r="F17" s="12">
        <f>D17*E17</f>
        <v/>
      </c>
    </row>
    <row r="18">
      <c r="A18" s="5" t="n">
        <v>14</v>
      </c>
      <c r="B18" s="10" t="n">
        <v>46289</v>
      </c>
      <c r="C18" s="5" t="inlineStr">
        <is>
          <t>Jueves</t>
        </is>
      </c>
      <c r="D18" s="5" t="n">
        <v>5</v>
      </c>
      <c r="E18" s="12" t="n">
        <v>9.5</v>
      </c>
      <c r="F18" s="12">
        <f>D18*E18</f>
        <v/>
      </c>
    </row>
    <row r="19">
      <c r="A19" s="5" t="n">
        <v>15</v>
      </c>
      <c r="B19" s="10" t="n">
        <v>46290</v>
      </c>
      <c r="C19" s="5" t="inlineStr">
        <is>
          <t>Viernes</t>
        </is>
      </c>
      <c r="D19" s="5" t="n">
        <v>5</v>
      </c>
      <c r="E19" s="12" t="n">
        <v>7</v>
      </c>
      <c r="F19" s="12">
        <f>D19*E19</f>
        <v/>
      </c>
    </row>
    <row r="20">
      <c r="A20" s="5" t="n">
        <v>16</v>
      </c>
      <c r="B20" s="10" t="n">
        <v>46292</v>
      </c>
      <c r="C20" s="5" t="inlineStr">
        <is>
          <t>Domingo</t>
        </is>
      </c>
      <c r="D20" s="5" t="n">
        <v>5</v>
      </c>
      <c r="E20" s="12" t="n">
        <v>10.5</v>
      </c>
      <c r="F20" s="12">
        <f>D20*E20</f>
        <v/>
      </c>
    </row>
    <row r="21">
      <c r="A21" s="5" t="n">
        <v>17</v>
      </c>
      <c r="B21" s="10" t="n">
        <v>46293</v>
      </c>
      <c r="C21" s="5" t="inlineStr">
        <is>
          <t>Lunes</t>
        </is>
      </c>
      <c r="D21" s="5" t="n">
        <v>5</v>
      </c>
      <c r="E21" s="12" t="n">
        <v>9</v>
      </c>
      <c r="F21" s="12">
        <f>D21*E21</f>
        <v/>
      </c>
    </row>
    <row r="22">
      <c r="A22" s="5" t="n">
        <v>18</v>
      </c>
      <c r="B22" s="10" t="n">
        <v>46294</v>
      </c>
      <c r="C22" s="5" t="inlineStr">
        <is>
          <t>Martes</t>
        </is>
      </c>
      <c r="D22" s="5" t="n">
        <v>5</v>
      </c>
      <c r="E22" s="12" t="n">
        <v>1.5</v>
      </c>
      <c r="F22" s="12">
        <f>D22*E22</f>
        <v/>
      </c>
    </row>
    <row r="23">
      <c r="A23" s="8" t="inlineStr">
        <is>
          <t>TOTAL</t>
        </is>
      </c>
      <c r="B23" s="8">
        <f>COUNT(A5:A22)&amp;" días"</f>
        <v/>
      </c>
      <c r="C23" s="8" t="n"/>
      <c r="D23" s="8" t="n"/>
      <c r="E23" s="13">
        <f>SUM(E5:E22)</f>
        <v/>
      </c>
      <c r="F23" s="13">
        <f>SUM(F5:F22)</f>
        <v/>
      </c>
    </row>
    <row r="25">
      <c r="A25" s="9" t="inlineStr">
        <is>
          <t>Notas: el 5 sep trabajaron 4 personas; el 29 sep fueron 1,5 horas. Días sin registro (7, 12, 13, 15, 16, 19, 20 y 26) fueron libres.</t>
        </is>
      </c>
    </row>
  </sheetData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8" customWidth="1" min="4" max="4"/>
  </cols>
  <sheetData>
    <row r="1">
      <c r="A1" s="1" t="inlineStr">
        <is>
          <t>Horas con tractor – empresa Saba Pistachio</t>
        </is>
      </c>
    </row>
    <row r="2">
      <c r="A2" s="2" t="inlineStr">
        <is>
          <t>Septiembre 2026 · Incluye gasolina · 30 km cada día (ida y vuelta)</t>
        </is>
      </c>
    </row>
    <row r="4" ht="32" customHeight="1">
      <c r="A4" s="3" t="inlineStr">
        <is>
          <t>Fecha</t>
        </is>
      </c>
      <c r="B4" s="3" t="inlineStr">
        <is>
          <t>Día de la semana</t>
        </is>
      </c>
      <c r="C4" s="3" t="inlineStr">
        <is>
          <t>Horas</t>
        </is>
      </c>
      <c r="D4" s="3" t="inlineStr">
        <is>
          <t>Km ida y vuelta</t>
        </is>
      </c>
    </row>
    <row r="5">
      <c r="A5" s="10" t="n">
        <v>46272</v>
      </c>
      <c r="B5" s="5" t="inlineStr">
        <is>
          <t>Lunes</t>
        </is>
      </c>
      <c r="C5" s="12" t="n">
        <v>10.5</v>
      </c>
      <c r="D5" s="5" t="n">
        <v>30</v>
      </c>
    </row>
    <row r="6">
      <c r="A6" s="10" t="n">
        <v>46273</v>
      </c>
      <c r="B6" s="5" t="inlineStr">
        <is>
          <t>Martes</t>
        </is>
      </c>
      <c r="C6" s="12" t="n">
        <v>12</v>
      </c>
      <c r="D6" s="5" t="n">
        <v>30</v>
      </c>
    </row>
    <row r="7">
      <c r="A7" s="10" t="n">
        <v>46274</v>
      </c>
      <c r="B7" s="5" t="inlineStr">
        <is>
          <t>Miércoles</t>
        </is>
      </c>
      <c r="C7" s="12" t="n">
        <v>12</v>
      </c>
      <c r="D7" s="5" t="n">
        <v>30</v>
      </c>
    </row>
    <row r="8">
      <c r="A8" s="10" t="n">
        <v>46275</v>
      </c>
      <c r="B8" s="5" t="inlineStr">
        <is>
          <t>Jueves</t>
        </is>
      </c>
      <c r="C8" s="12" t="n">
        <v>12</v>
      </c>
      <c r="D8" s="5" t="n">
        <v>30</v>
      </c>
    </row>
    <row r="9">
      <c r="A9" s="10" t="n">
        <v>46276</v>
      </c>
      <c r="B9" s="5" t="inlineStr">
        <is>
          <t>Viernes</t>
        </is>
      </c>
      <c r="C9" s="12" t="n">
        <v>12</v>
      </c>
      <c r="D9" s="5" t="n">
        <v>30</v>
      </c>
    </row>
    <row r="10">
      <c r="A10" s="10" t="n">
        <v>46277</v>
      </c>
      <c r="B10" s="5" t="inlineStr">
        <is>
          <t>Sábado</t>
        </is>
      </c>
      <c r="C10" s="12" t="n">
        <v>12</v>
      </c>
      <c r="D10" s="5" t="n">
        <v>30</v>
      </c>
    </row>
    <row r="11">
      <c r="A11" s="10" t="n">
        <v>46278</v>
      </c>
      <c r="B11" s="5" t="inlineStr">
        <is>
          <t>Domingo</t>
        </is>
      </c>
      <c r="C11" s="12" t="n">
        <v>12</v>
      </c>
      <c r="D11" s="5" t="n">
        <v>30</v>
      </c>
    </row>
    <row r="12">
      <c r="A12" s="8" t="inlineStr">
        <is>
          <t>TOTAL</t>
        </is>
      </c>
      <c r="B12" s="8">
        <f>COUNT(C5:C11)&amp;" días"</f>
        <v/>
      </c>
      <c r="C12" s="13">
        <f>SUM(C5:C11)</f>
        <v/>
      </c>
      <c r="D12" s="8">
        <f>SUM(D5:D11)</f>
        <v/>
      </c>
    </row>
    <row r="14">
      <c r="A14" s="9" t="inlineStr">
        <is>
          <t>Nota: el trabajador escribió «lunes 13», pero el 13 de septiembre de 2026 es domingo.</t>
        </is>
      </c>
    </row>
  </sheetData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26" customWidth="1" min="4" max="4"/>
    <col width="14" customWidth="1" min="5" max="5"/>
  </cols>
  <sheetData>
    <row r="1">
      <c r="A1" s="1" t="inlineStr">
        <is>
          <t>Kilómetros de gasolina – Jose y Emilio</t>
        </is>
      </c>
    </row>
    <row r="2">
      <c r="A2" s="2" t="inlineStr">
        <is>
          <t>Septiembre 2026 · Km por viaje = km de ida × 2 · Km totales = km por viaje × nº de veces</t>
        </is>
      </c>
    </row>
    <row r="4" ht="32" customHeight="1">
      <c r="A4" s="3" t="inlineStr">
        <is>
          <t>Destino</t>
        </is>
      </c>
      <c r="B4" s="3" t="inlineStr">
        <is>
          <t>Nº de veces</t>
        </is>
      </c>
      <c r="C4" s="3" t="inlineStr">
        <is>
          <t>Km de ida</t>
        </is>
      </c>
      <c r="D4" s="3" t="inlineStr">
        <is>
          <t>Km ida y vuelta por viaje</t>
        </is>
      </c>
      <c r="E4" s="3" t="inlineStr">
        <is>
          <t>Km totales</t>
        </is>
      </c>
    </row>
    <row r="5">
      <c r="A5" s="4" t="inlineStr">
        <is>
          <t>Casas Ibáñez y Mahora</t>
        </is>
      </c>
      <c r="B5" s="5" t="n">
        <v>3</v>
      </c>
      <c r="C5" s="5" t="n">
        <v>27</v>
      </c>
      <c r="D5" s="5">
        <f>C5*2</f>
        <v/>
      </c>
      <c r="E5" s="5">
        <f>D5*B5</f>
        <v/>
      </c>
    </row>
    <row r="6">
      <c r="A6" s="4" t="inlineStr">
        <is>
          <t>Detrás de Albacete</t>
        </is>
      </c>
      <c r="B6" s="5" t="n">
        <v>1</v>
      </c>
      <c r="C6" s="5" t="n">
        <v>60</v>
      </c>
      <c r="D6" s="5">
        <f>C6*2</f>
        <v/>
      </c>
      <c r="E6" s="5">
        <f>D6*B6</f>
        <v/>
      </c>
    </row>
    <row r="7">
      <c r="A7" s="4" t="inlineStr">
        <is>
          <t>Villanueva de la Jara</t>
        </is>
      </c>
      <c r="B7" s="5" t="n">
        <v>7</v>
      </c>
      <c r="C7" s="5" t="n">
        <v>57</v>
      </c>
      <c r="D7" s="5">
        <f>C7*2</f>
        <v/>
      </c>
      <c r="E7" s="5">
        <f>D7*B7</f>
        <v/>
      </c>
    </row>
    <row r="8">
      <c r="A8" s="4" t="inlineStr">
        <is>
          <t>Navas Jorquera</t>
        </is>
      </c>
      <c r="B8" s="5" t="n">
        <v>1</v>
      </c>
      <c r="C8" s="5" t="n">
        <v>27</v>
      </c>
      <c r="D8" s="5">
        <f>C8*2</f>
        <v/>
      </c>
      <c r="E8" s="5">
        <f>D8*B8</f>
        <v/>
      </c>
    </row>
    <row r="9">
      <c r="A9" s="4" t="inlineStr">
        <is>
          <t>Detrás de Ledeña (6 días)</t>
        </is>
      </c>
      <c r="B9" s="5" t="n">
        <v>6</v>
      </c>
      <c r="C9" s="5" t="n">
        <v>29</v>
      </c>
      <c r="D9" s="5">
        <f>C9*2</f>
        <v/>
      </c>
      <c r="E9" s="5">
        <f>D9*B9</f>
        <v/>
      </c>
    </row>
    <row r="10">
      <c r="A10" s="7" t="inlineStr">
        <is>
          <t>TOTAL Jose y Emilio</t>
        </is>
      </c>
      <c r="B10" s="8">
        <f>SUM(B5:B9)&amp;" viajes"</f>
        <v/>
      </c>
      <c r="C10" s="8" t="n"/>
      <c r="D10" s="8" t="n"/>
      <c r="E10" s="8">
        <f>SUM(E5:E9)</f>
        <v/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2026-10-01T15:56:17Z</dcterms:created>
  <dcterms:modified xsi:type="dcterms:W3CDTF">2026-10-01T15:56:17Z</dcterms:modified>
</cp:coreProperties>
</file>